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3C0\EXCELCNV\2d032cf7-6697-4824-b4a8-5ec5f1c2a861\"/>
    </mc:Choice>
  </mc:AlternateContent>
  <xr:revisionPtr revIDLastSave="0" documentId="8_{24EC4011-D91E-4813-9714-C21211A245BC}" xr6:coauthVersionLast="47" xr6:coauthVersionMax="47" xr10:uidLastSave="{00000000-0000-0000-0000-000000000000}"/>
  <bookViews>
    <workbookView xWindow="-60" yWindow="-60" windowWidth="15480" windowHeight="11640" firstSheet="3" activeTab="3" xr2:uid="{FE543CD0-31F2-4ACC-B628-554F7A833113}"/>
  </bookViews>
  <sheets>
    <sheet name="Data" sheetId="1" r:id="rId1"/>
    <sheet name="EDA Summary" sheetId="3" r:id="rId2"/>
    <sheet name="Business Insights" sheetId="4" r:id="rId3"/>
    <sheet name="SQL findings" sheetId="5" r:id="rId4"/>
  </sheets>
  <definedNames>
    <definedName name="_xlnm._FilterDatabase" localSheetId="0" hidden="1">Data!$A$1:$M$9994</definedName>
  </definedNames>
  <calcPr calcId="191028"/>
  <pivotCaches>
    <pivotCache cacheId="5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<sst xmlns="http://schemas.openxmlformats.org/spreadsheetml/2006/main" count="80122" uniqueCount="694">
  <si>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</si>
  <si>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</si>
  <si>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</si>
  <si>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</si>
  <si>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</si>
  <si>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</si>
  <si>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</si>
  <si>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</si>
  <si>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</si>
  <si>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</si>
  <si>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</si>
  <si>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</si>
  <si>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</si>
  <si>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</si>
  <si>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</si>
  <si>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</si>
  <si>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</si>
  <si>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</si>
  <si>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</si>
  <si>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</si>
  <si>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</si>
  <si>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</si>
  <si>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</si>
  <si>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</si>
  <si>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</si>
  <si>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</si>
  <si>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</si>
  <si>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</si>
  <si>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</si>
  <si>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</si>
  <si>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</si>
  <si>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</si>
  <si>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</si>
  <si>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</si>
  <si>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</si>
  <si>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</si>
  <si>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</si>
  <si>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</si>
  <si>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</si>
  <si>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</si>
  <si>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</si>
  <si>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</si>
  <si>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</si>
  <si>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</si>
  <si>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</si>
  <si>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</si>
  <si>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</si>
  <si>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</si>
  <si>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</si>
  <si>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</si>
  <si>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</si>
  <si>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</si>
  <si>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</si>
  <si>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</si>
  <si>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</si>
  <si>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</si>
  <si>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</si>
  <si>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</si>
  <si>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</si>
  <si>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</si>
  <si>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</si>
  <si>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</si>
  <si>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</si>
  <si>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</si>
  <si>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</si>
  <si>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</si>
  <si>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</si>
  <si>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</si>
  <si>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</si>
  <si>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</si>
  <si>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</si>
  <si>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</si>
  <si>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</si>
  <si>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</si>
  <si>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</si>
  <si>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</si>
  <si>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</si>
  <si>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</si>
  <si>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</si>
  <si>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</si>
  <si>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</si>
  <si>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</si>
  <si>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</si>
  <si>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</si>
  <si>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</si>
  <si>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</si>
  <si>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</si>
  <si>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</si>
  <si>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</si>
  <si>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</si>
  <si>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</si>
  <si>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</si>
  <si>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</si>
  <si>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</si>
  <si>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</si>
  <si>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</si>
  <si>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</si>
  <si>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</si>
  <si>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</si>
  <si>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</si>
  <si>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</si>
  <si>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</si>
  <si>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</si>
  <si>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</si>
  <si>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</si>
  <si>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</si>
  <si>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</si>
  <si>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</si>
  <si>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</si>
  <si>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</si>
  <si>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</si>
  <si>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</si>
  <si>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</si>
  <si>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</si>
  <si>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</si>
  <si>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</si>
  <si>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</si>
  <si>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</si>
  <si>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</si>
  <si>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</si>
  <si>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</si>
  <si>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</si>
  <si>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</si>
  <si>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</si>
  <si>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</si>
  <si>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</si>
  <si>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</si>
  <si>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</si>
  <si>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</si>
  <si>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</si>
  <si>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</si>
  <si>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</si>
  <si>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</si>
  <si>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</si>
  <si>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</si>
  <si>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</si>
  <si>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</si>
  <si>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</si>
  <si>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</si>
  <si>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</si>
  <si>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</si>
  <si>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</si>
  <si>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</si>
  <si>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</si>
  <si>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</si>
  <si>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</si>
  <si>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</si>
  <si>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</si>
  <si>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</si>
  <si>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</si>
  <si>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</si>
  <si>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</si>
  <si>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</si>
  <si>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</si>
  <si>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</si>
  <si>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</si>
  <si>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</si>
  <si>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</si>
  <si>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</si>
  <si>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</si>
  <si>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</si>
  <si>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</si>
  <si>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</si>
  <si>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</si>
  <si>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</si>
  <si>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</si>
  <si>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</si>
  <si>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</si>
  <si>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</si>
  <si>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</si>
  <si>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</si>
  <si>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</si>
  <si>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</si>
  <si>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</si>
  <si>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</si>
  <si>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</si>
  <si>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</si>
  <si>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</si>
  <si>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</si>
  <si>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</si>
  <si>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</si>
  <si>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</si>
  <si>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</si>
  <si>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</si>
  <si>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</si>
  <si>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</si>
  <si>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</si>
  <si>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</si>
  <si>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</si>
  <si>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</si>
  <si>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</si>
  <si>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</si>
  <si>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</si>
  <si>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</si>
  <si>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</si>
  <si>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</si>
  <si>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</si>
  <si>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</si>
  <si>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</si>
  <si>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</si>
  <si>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</si>
  <si>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</si>
  <si>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</si>
  <si>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</si>
  <si>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</si>
  <si>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</si>
  <si>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</si>
  <si>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</si>
  <si>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</si>
  <si>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</si>
  <si>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</si>
  <si>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</si>
  <si>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</si>
  <si>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</si>
  <si>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</si>
  <si>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</si>
  <si>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</si>
  <si>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</si>
  <si>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</si>
  <si>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</si>
  <si>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</si>
  <si>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</si>
  <si>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</si>
  <si>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</si>
  <si>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</si>
  <si>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</si>
  <si>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</si>
  <si>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</si>
  <si>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</si>
  <si>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</si>
  <si>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</si>
  <si>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</si>
  <si>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</si>
  <si>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</si>
  <si>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</si>
  <si>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</si>
  <si>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</si>
  <si>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</si>
  <si>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</si>
  <si>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</si>
  <si>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</si>
  <si>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</si>
  <si>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</si>
  <si>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</si>
  <si>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</si>
  <si>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</si>
  <si>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</si>
  <si>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</si>
  <si>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</si>
  <si>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</si>
  <si>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</si>
  <si>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</si>
  <si>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</si>
  <si>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</si>
  <si>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</si>
  <si>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</si>
  <si>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</si>
  <si>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</si>
  <si>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</si>
  <si>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</si>
  <si>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</si>
  <si>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</si>
  <si>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</si>
  <si>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</si>
  <si>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</si>
  <si>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</si>
  <si>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</si>
  <si>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</si>
  <si>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</si>
  <si>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</si>
  <si>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</si>
  <si>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</si>
  <si>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</si>
  <si>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</si>
  <si>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</si>
  <si>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</si>
  <si>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</si>
  <si>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</si>
  <si>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</si>
  <si>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</si>
  <si>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</si>
  <si>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</si>
  <si>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</si>
  <si>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</si>
  <si>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</si>
  <si>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</si>
  <si>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</si>
  <si>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</si>
  <si>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</si>
  <si>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</si>
  <si>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</si>
  <si>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</si>
  <si>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</si>
  <si>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</si>
  <si>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</si>
  <si>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</si>
  <si>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</si>
  <si>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</si>
  <si>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</si>
  <si>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</si>
  <si>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</si>
  <si>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</si>
  <si>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</si>
  <si>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</si>
  <si>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</si>
  <si>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</si>
  <si>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</si>
  <si>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</si>
  <si>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</si>
  <si>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</si>
  <si>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</si>
  <si>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</si>
  <si>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</si>
  <si>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</si>
  <si>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</si>
  <si>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</si>
  <si>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</si>
  <si>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</si>
  <si>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</si>
  <si>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</si>
  <si>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</si>
  <si>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</si>
  <si>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</si>
  <si>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</si>
  <si>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</si>
  <si>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</si>
  <si>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</si>
  <si>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</si>
  <si>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</si>
  <si>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</si>
  <si>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</si>
  <si>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</si>
  <si>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</si>
  <si>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</si>
  <si>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</si>
  <si>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</si>
  <si>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</si>
  <si>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</si>
  <si>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</si>
  <si>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</si>
  <si>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</si>
  <si>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</si>
  <si>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</si>
  <si>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</si>
  <si>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</si>
  <si>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</si>
  <si>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</si>
  <si>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</si>
  <si>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</si>
  <si>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</si>
  <si>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</si>
  <si>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</si>
  <si>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</si>
  <si>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</si>
  <si>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</si>
  <si>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</si>
  <si>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</si>
  <si>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</si>
  <si>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</si>
  <si>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</si>
  <si>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</si>
  <si>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</si>
  <si>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</si>
  <si>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</si>
  <si>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</si>
  <si>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</si>
  <si>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</si>
  <si>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</si>
  <si>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</si>
  <si>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</si>
  <si>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</si>
  <si>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</si>
  <si>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</si>
  <si>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</si>
  <si>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</si>
  <si>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</si>
  <si>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</si>
  <si>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</si>
  <si>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</si>
  <si>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</si>
  <si>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</si>
  <si>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</si>
  <si>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</si>
  <si>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</si>
  <si>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</si>
  <si>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</si>
  <si>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</si>
  <si>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</si>
  <si>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</si>
  <si>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</si>
  <si>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</si>
  <si>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</si>
  <si>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</si>
  <si>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</si>
  <si>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</si>
  <si>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</si>
  <si>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</si>
  <si>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</si>
  <si>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</si>
  <si>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</si>
  <si>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</si>
  <si>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</si>
  <si>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</si>
  <si>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</si>
  <si>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</si>
  <si>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</si>
  <si>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</si>
  <si>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</si>
  <si>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</si>
  <si>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</si>
  <si>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</si>
  <si>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</si>
  <si>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</si>
  <si>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</si>
  <si>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</si>
  <si>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</si>
  <si>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</si>
  <si>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</si>
  <si>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</si>
  <si>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</si>
  <si>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</si>
  <si>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</si>
  <si>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</si>
  <si>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</si>
  <si>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</si>
  <si>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</si>
  <si>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</si>
  <si>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</si>
  <si>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</si>
  <si>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</si>
  <si>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</si>
  <si>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</si>
  <si>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</si>
  <si>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</si>
  <si>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</si>
  <si>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</si>
  <si>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</si>
  <si>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</si>
  <si>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</si>
  <si>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</si>
  <si>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</si>
  <si>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</si>
  <si>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</si>
  <si>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</si>
  <si>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</si>
  <si>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</si>
  <si>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</si>
  <si>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</si>
  <si>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</si>
  <si>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</si>
  <si>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</si>
  <si>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</si>
  <si>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</si>
  <si>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</si>
  <si>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</si>
  <si>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</si>
  <si>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</si>
  <si>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</si>
  <si>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</si>
  <si>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</si>
  <si>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</si>
  <si>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</si>
  <si>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</si>
  <si>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</si>
  <si>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</si>
  <si>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</si>
  <si>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</si>
  <si>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</si>
  <si>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</si>
  <si>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</si>
  <si>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</si>
  <si>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</si>
  <si>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</si>
  <si>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</si>
  <si>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</si>
  <si>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</si>
  <si>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</si>
  <si>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</si>
  <si>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</si>
  <si>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</si>
  <si>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</si>
  <si>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</si>
  <si>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</si>
  <si>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</si>
  <si>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</si>
  <si>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</si>
  <si>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</si>
  <si>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</si>
  <si>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</si>
  <si>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</si>
  <si>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</si>
  <si>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</si>
  <si>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</si>
  <si>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</si>
  <si>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</si>
  <si>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</si>
  <si>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</si>
  <si>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</si>
  <si>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</si>
  <si>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</si>
  <si>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</si>
  <si>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</si>
  <si>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</si>
  <si>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</si>
  <si>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</si>
  <si>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</si>
  <si>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</si>
  <si>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</si>
  <si>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</si>
  <si>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</si>
  <si>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</si>
  <si>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</si>
  <si>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</si>
  <si>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</si>
  <si>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</si>
  <si>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</si>
  <si>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</si>
  <si>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</si>
  <si>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</si>
  <si>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</si>
  <si>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</si>
  <si>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</si>
  <si>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</si>
  <si>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</si>
  <si>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</si>
  <si>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</si>
  <si>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</si>
  <si>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</si>
  <si>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</si>
  <si>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</si>
  <si>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</si>
  <si>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</si>
  <si>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</si>
  <si>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</si>
  <si>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</si>
  <si>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</si>
  <si>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</si>
  <si>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</si>
  <si>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</si>
  <si>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</si>
  <si>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</si>
  <si>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</si>
  <si>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</si>
  <si>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</si>
  <si>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</si>
  <si>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</si>
  <si>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</si>
  <si>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</si>
  <si>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</si>
  <si>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</si>
  <si>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</si>
  <si>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</si>
  <si>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</si>
  <si>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</si>
  <si>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</si>
  <si>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</si>
  <si>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</si>
  <si>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</si>
  <si>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</si>
  <si>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</si>
  <si>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</si>
  <si>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</si>
  <si>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</si>
  <si>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</si>
  <si>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</si>
  <si>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</si>
  <si>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</si>
  <si>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</si>
  <si>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</si>
  <si>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</si>
  <si>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</si>
  <si>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</si>
  <si>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</si>
  <si>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</si>
  <si>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</si>
  <si>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</si>
  <si>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</si>
  <si>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</si>
  <si>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</si>
  <si>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</si>
  <si>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</si>
  <si>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</si>
  <si>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</si>
  <si>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</si>
  <si>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</si>
  <si>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</si>
  <si>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</si>
  <si>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</si>
  <si>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</si>
  <si>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</si>
  <si>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</si>
  <si>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</si>
  <si>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</si>
  <si>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</si>
  <si>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</si>
  <si>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</si>
  <si>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</si>
  <si>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</si>
  <si>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</si>
  <si>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</si>
  <si>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</si>
  <si>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</si>
  <si>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</si>
  <si>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</si>
  <si>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</si>
  <si>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</si>
  <si>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</si>
  <si>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</si>
  <si>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</si>
  <si>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</si>
  <si>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</si>
  <si>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</si>
  <si>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</si>
  <si>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</si>
  <si>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</si>
  <si>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</si>
  <si>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</si>
  <si>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</si>
  <si>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</si>
  <si>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</si>
  <si>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</si>
  <si>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</si>
  <si>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</si>
  <si>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</si>
  <si>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Metric</t>
  </si>
  <si>
    <t>Value</t>
  </si>
  <si>
    <t>Dimension</t>
  </si>
  <si>
    <t>Count</t>
  </si>
  <si>
    <t>Number of Rows</t>
  </si>
  <si>
    <t>Regions</t>
  </si>
  <si>
    <t>Number of Columns</t>
  </si>
  <si>
    <t>States</t>
  </si>
  <si>
    <t>Total Sales</t>
  </si>
  <si>
    <t>Cities</t>
  </si>
  <si>
    <t>Total Profit</t>
  </si>
  <si>
    <t>Categories</t>
  </si>
  <si>
    <t>Total Quantity Sold</t>
  </si>
  <si>
    <t>Sub-Categories</t>
  </si>
  <si>
    <t>Number of countries</t>
  </si>
  <si>
    <t>Ship Modes</t>
  </si>
  <si>
    <t>Number of Postal Codes</t>
  </si>
  <si>
    <t>Customer Segments</t>
  </si>
  <si>
    <t>Missing Values</t>
  </si>
  <si>
    <t>Duplicate Rows</t>
  </si>
  <si>
    <t>Sales by Region</t>
  </si>
  <si>
    <t>Profit by Region</t>
  </si>
  <si>
    <t>Sales by Category</t>
  </si>
  <si>
    <t>Sum of Sales</t>
  </si>
  <si>
    <t>Sum of Profit</t>
  </si>
  <si>
    <t>Grand Total</t>
  </si>
  <si>
    <t>Which region has the highest sales?</t>
  </si>
  <si>
    <t>Which region is most profitable?</t>
  </si>
  <si>
    <t>Which category generates the most revenue?</t>
  </si>
  <si>
    <t>Which region has the lowest sales?</t>
  </si>
  <si>
    <t>Which region is least profitable?</t>
  </si>
  <si>
    <t>Which category generates the least revenue?</t>
  </si>
  <si>
    <t>Profit by Category</t>
  </si>
  <si>
    <t>Top 10 Sub-Categories by Sales</t>
  </si>
  <si>
    <t>Which category generates the most profit?</t>
  </si>
  <si>
    <t>Which category generates the least profit?</t>
  </si>
  <si>
    <t>Regional Performance</t>
  </si>
  <si>
    <t>Category Performance</t>
  </si>
  <si>
    <t>Top Revenue Drivers</t>
  </si>
  <si>
    <t>Loss-Making Products</t>
  </si>
  <si>
    <t>Discount Analysis</t>
  </si>
  <si>
    <t>Your results show:</t>
  </si>
  <si>
    <t>Average Profit</t>
  </si>
  <si>
    <t>Insight</t>
  </si>
  <si>
    <t>West is the strongest region in both sales and profit.</t>
  </si>
  <si>
    <t>Technology is the clear winner.</t>
  </si>
  <si>
    <t>Tables are the biggest concern.</t>
  </si>
  <si>
    <t>Consumer customers contribute:</t>
  </si>
  <si>
    <t>South has the lowest sales.</t>
  </si>
  <si>
    <t>Furniture generates strong revenue but weak profitability.</t>
  </si>
  <si>
    <t>This is a powerful finding because:</t>
  </si>
  <si>
    <t>Highest revenue</t>
  </si>
  <si>
    <t>Central generates more sales than South but lower profit, suggesting operational inefficiencies or discounting.</t>
  </si>
  <si>
    <t>Office Supplies has slightly lower sales than Furniture but far stronger profit margins.</t>
  </si>
  <si>
    <t>Phones and Chairs are major revenue drivers.</t>
  </si>
  <si>
    <t>Tables are a top-selling product.</t>
  </si>
  <si>
    <t>Highest profit</t>
  </si>
  <si>
    <t>This is exactly the kind of insight a Business Analyst would present.</t>
  </si>
  <si>
    <t>Yet they are the worst-performing product by profit.</t>
  </si>
  <si>
    <t>This segment should be prioritized.</t>
  </si>
  <si>
    <t>That suggests:</t>
  </si>
  <si>
    <t>As discounts increase:</t>
  </si>
  <si>
    <t>Excessive discounts</t>
  </si>
  <si>
    <t>Profit decreases dramatically.</t>
  </si>
  <si>
    <t>High shipping costs</t>
  </si>
  <si>
    <t>This is one of the strongest business insights in the dataset.</t>
  </si>
  <si>
    <t>Low margins</t>
  </si>
  <si>
    <t>You can confidently write:</t>
  </si>
  <si>
    <t>This is exactly the type of story we want your dashboard to tell.</t>
  </si>
  <si>
    <t>Discounts above 20% are strongly associated with declining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</si>
</sst>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ourier Ne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3" fontId="0" fillId="0" borderId="0" xfId="0" applyNumberForma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084956018516" createdVersion="8" refreshedVersion="8" minRefreshableVersion="3" recordCount="9994" xr:uid="{9761BAD3-DA16-425A-8582-3613DFF70CCA}">
  <cacheSource type="worksheet">
    <worksheetSource ref="A1:M9995" sheet="Data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D9E9F-C286-453C-907A-52251A1FD2A3}" name="PivotTable2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6F969-2D79-4BEA-A498-4F31FEBB6CE6}" name="PivotTable1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formats count="1">
    <format dxfId="2">
      <pivotArea outline="0" fieldPosition="0">
        <references count="1">
          <reference field="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BEBE9-FF52-4A3F-A27C-C9A7F73AF093}" name="PivotTable5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D15:E33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Items count="1">
    <i/>
  </colItems>
  <dataFields count="1">
    <dataField name="Sum of Sales" fld="9" baseField="0" baseItem="0"/>
  </dataFields>
  <formats count="1">
    <format dxfId="1">
      <pivotArea outline="0" fieldPosition="0">
        <references count="1"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1E4FC-7258-428D-8743-BA894B696EE8}" name="PivotTable4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B1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formats count="1">
    <format dxfId="0">
      <pivotArea outline="0" fieldPosition="0">
        <references count="1">
          <reference field="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E7742-4AA1-4ED1-A6C3-48B31C10DC15}" name="PivotTable3" cacheId="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1A60-0EB3-42F9-8B6E-A2FD44ED3618}">
  <dimension ref="A1:M9995"/>
  <sheetViews>
    <sheetView workbookViewId="0">
      <pane ySplit="1" topLeftCell="A9978" activePane="bottomLeft" state="frozen"/>
      <selection pane="bottomLeft" activeCell="F6" sqref="F6"/>
    </sheetView>
  </sheetViews>
  <sheetFormatPr defaultRowHeight="15"/>
  <cols>
    <col min="1" max="1" width="13.5703125" bestFit="1" customWidth="1"/>
    <col min="2" max="2" width="12" bestFit="1" customWidth="1"/>
    <col min="3" max="3" width="12.7109375" bestFit="1" customWidth="1"/>
    <col min="4" max="4" width="17.85546875" bestFit="1" customWidth="1"/>
    <col min="5" max="5" width="18.28515625" bestFit="1" customWidth="1"/>
    <col min="6" max="6" width="11.28515625" bestFit="1" customWidth="1"/>
    <col min="7" max="7" width="7.28515625" bestFit="1" customWidth="1"/>
    <col min="8" max="8" width="14.28515625" bestFit="1" customWidth="1"/>
    <col min="9" max="9" width="12.7109375" bestFit="1" customWidth="1"/>
    <col min="10" max="10" width="10.140625" bestFit="1" customWidth="1"/>
    <col min="11" max="12" width="8.5703125" bestFit="1" customWidth="1"/>
    <col min="13" max="13" width="10.570312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27EC-73DC-4A9F-8BEE-2E51044E7C3B}">
  <dimension ref="A1:E10"/>
  <sheetViews>
    <sheetView workbookViewId="0">
      <selection activeCell="B3" sqref="B3"/>
    </sheetView>
  </sheetViews>
  <sheetFormatPr defaultRowHeight="15"/>
  <cols>
    <col min="1" max="1" width="30.85546875" bestFit="1" customWidth="1"/>
    <col min="2" max="2" width="34" bestFit="1" customWidth="1"/>
    <col min="4" max="4" width="18.28515625" bestFit="1" customWidth="1"/>
  </cols>
  <sheetData>
    <row r="1" spans="1:5">
      <c r="A1" s="1" t="s">
        <v>624</v>
      </c>
      <c r="B1" s="1" t="s">
        <v>625</v>
      </c>
      <c r="D1" s="1" t="s">
        <v>626</v>
      </c>
      <c r="E1" s="1" t="s">
        <v>627</v>
      </c>
    </row>
    <row r="2" spans="1:5">
      <c r="A2" t="s">
        <v>628</v>
      </c>
      <c r="B2">
        <v>9994</v>
      </c>
      <c r="D2" t="s">
        <v>629</v>
      </c>
      <c r="E2">
        <v>4</v>
      </c>
    </row>
    <row r="3" spans="1:5">
      <c r="A3" t="s">
        <v>630</v>
      </c>
      <c r="B3">
        <v>13</v>
      </c>
      <c r="D3" t="s">
        <v>631</v>
      </c>
      <c r="E3">
        <v>49</v>
      </c>
    </row>
    <row r="4" spans="1:5">
      <c r="A4" t="s">
        <v>632</v>
      </c>
      <c r="B4" s="2">
        <v>2297200.86</v>
      </c>
      <c r="D4" t="s">
        <v>633</v>
      </c>
      <c r="E4">
        <v>531</v>
      </c>
    </row>
    <row r="5" spans="1:5">
      <c r="A5" t="s">
        <v>634</v>
      </c>
      <c r="B5" s="2">
        <v>286397.02169999998</v>
      </c>
      <c r="D5" t="s">
        <v>635</v>
      </c>
      <c r="E5">
        <v>3</v>
      </c>
    </row>
    <row r="6" spans="1:5">
      <c r="A6" t="s">
        <v>636</v>
      </c>
      <c r="B6">
        <v>37873</v>
      </c>
      <c r="D6" t="s">
        <v>637</v>
      </c>
      <c r="E6">
        <v>17</v>
      </c>
    </row>
    <row r="7" spans="1:5">
      <c r="A7" t="s">
        <v>638</v>
      </c>
      <c r="B7">
        <v>1</v>
      </c>
      <c r="D7" t="s">
        <v>639</v>
      </c>
      <c r="E7">
        <v>4</v>
      </c>
    </row>
    <row r="8" spans="1:5">
      <c r="A8" t="s">
        <v>640</v>
      </c>
      <c r="B8">
        <v>631</v>
      </c>
      <c r="D8" t="s">
        <v>641</v>
      </c>
      <c r="E8">
        <v>3</v>
      </c>
    </row>
    <row r="9" spans="1:5">
      <c r="A9" t="s">
        <v>642</v>
      </c>
      <c r="B9">
        <v>0</v>
      </c>
    </row>
    <row r="10" spans="1:5">
      <c r="A10" t="s">
        <v>643</v>
      </c>
      <c r="B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B60A-287E-4627-9E01-4C89086439B1}">
  <dimension ref="A1:H39"/>
  <sheetViews>
    <sheetView topLeftCell="A5" workbookViewId="0">
      <selection activeCell="E11" sqref="E11"/>
    </sheetView>
  </sheetViews>
  <sheetFormatPr defaultRowHeight="15"/>
  <cols>
    <col min="1" max="1" width="38.28515625" bestFit="1" customWidth="1"/>
    <col min="2" max="2" width="12.7109375" bestFit="1" customWidth="1"/>
    <col min="4" max="4" width="29.28515625" bestFit="1" customWidth="1"/>
    <col min="5" max="5" width="12.7109375" bestFit="1" customWidth="1"/>
    <col min="6" max="6" width="10.85546875" customWidth="1"/>
    <col min="7" max="7" width="40.5703125" bestFit="1" customWidth="1"/>
    <col min="8" max="8" width="13.7109375" bestFit="1" customWidth="1"/>
  </cols>
  <sheetData>
    <row r="1" spans="1:8" ht="21">
      <c r="A1" s="17" t="s">
        <v>644</v>
      </c>
      <c r="B1" s="17"/>
      <c r="D1" s="18" t="s">
        <v>645</v>
      </c>
      <c r="E1" s="18"/>
      <c r="G1" s="18" t="s">
        <v>646</v>
      </c>
      <c r="H1" s="18"/>
    </row>
    <row r="3" spans="1:8">
      <c r="A3" s="3" t="s">
        <v>6</v>
      </c>
      <c r="B3" t="s">
        <v>647</v>
      </c>
      <c r="D3" s="3" t="s">
        <v>6</v>
      </c>
      <c r="E3" t="s">
        <v>648</v>
      </c>
      <c r="G3" s="3" t="s">
        <v>7</v>
      </c>
      <c r="H3" t="s">
        <v>647</v>
      </c>
    </row>
    <row r="4" spans="1:8">
      <c r="A4" t="s">
        <v>47</v>
      </c>
      <c r="B4" s="5">
        <v>501239.89080000052</v>
      </c>
      <c r="D4" t="s">
        <v>47</v>
      </c>
      <c r="E4" s="4">
        <v>39706.362499999981</v>
      </c>
      <c r="G4" t="s">
        <v>19</v>
      </c>
      <c r="H4" s="4">
        <v>741999.79529999977</v>
      </c>
    </row>
    <row r="5" spans="1:8">
      <c r="A5" t="s">
        <v>57</v>
      </c>
      <c r="B5" s="5">
        <v>678781.2399999979</v>
      </c>
      <c r="D5" t="s">
        <v>57</v>
      </c>
      <c r="E5" s="4">
        <v>91522.780000000261</v>
      </c>
      <c r="G5" t="s">
        <v>26</v>
      </c>
      <c r="H5" s="4">
        <v>719047.03200000292</v>
      </c>
    </row>
    <row r="6" spans="1:8">
      <c r="A6" t="s">
        <v>18</v>
      </c>
      <c r="B6" s="5">
        <v>391721.90500000032</v>
      </c>
      <c r="D6" t="s">
        <v>18</v>
      </c>
      <c r="E6" s="4">
        <v>46749.430300000065</v>
      </c>
      <c r="G6" t="s">
        <v>35</v>
      </c>
      <c r="H6" s="4">
        <v>836154.03299999656</v>
      </c>
    </row>
    <row r="7" spans="1:8">
      <c r="A7" t="s">
        <v>25</v>
      </c>
      <c r="B7" s="5">
        <v>725457.82450000057</v>
      </c>
      <c r="D7" t="s">
        <v>25</v>
      </c>
      <c r="E7" s="4">
        <v>108418.44890000018</v>
      </c>
      <c r="G7" t="s">
        <v>649</v>
      </c>
      <c r="H7" s="4">
        <v>2297200.8602999994</v>
      </c>
    </row>
    <row r="8" spans="1:8">
      <c r="A8" t="s">
        <v>649</v>
      </c>
      <c r="B8" s="4">
        <v>2297200.8602999994</v>
      </c>
      <c r="D8" t="s">
        <v>649</v>
      </c>
      <c r="E8" s="4">
        <v>286397.02170000051</v>
      </c>
    </row>
    <row r="10" spans="1:8">
      <c r="A10" t="s">
        <v>650</v>
      </c>
      <c r="B10" t="s">
        <v>25</v>
      </c>
      <c r="D10" t="s">
        <v>651</v>
      </c>
      <c r="E10" t="s">
        <v>25</v>
      </c>
      <c r="G10" s="10" t="s">
        <v>652</v>
      </c>
      <c r="H10" t="s">
        <v>35</v>
      </c>
    </row>
    <row r="11" spans="1:8">
      <c r="A11" t="s">
        <v>653</v>
      </c>
      <c r="B11" t="s">
        <v>18</v>
      </c>
      <c r="D11" t="s">
        <v>654</v>
      </c>
      <c r="E11" t="s">
        <v>18</v>
      </c>
      <c r="G11" s="7" t="s">
        <v>655</v>
      </c>
      <c r="H11" t="s">
        <v>26</v>
      </c>
    </row>
    <row r="13" spans="1:8" ht="21">
      <c r="A13" s="18" t="s">
        <v>656</v>
      </c>
      <c r="B13" s="18"/>
      <c r="D13" s="18" t="s">
        <v>657</v>
      </c>
      <c r="E13" s="18"/>
      <c r="F13" s="18"/>
    </row>
    <row r="15" spans="1:8">
      <c r="A15" s="3" t="s">
        <v>7</v>
      </c>
      <c r="B15" t="s">
        <v>648</v>
      </c>
      <c r="D15" s="3" t="s">
        <v>8</v>
      </c>
      <c r="E15" t="s">
        <v>647</v>
      </c>
    </row>
    <row r="16" spans="1:8">
      <c r="A16" t="s">
        <v>19</v>
      </c>
      <c r="B16" s="5">
        <v>18451.272799999999</v>
      </c>
      <c r="D16" t="s">
        <v>36</v>
      </c>
      <c r="E16" s="5">
        <v>330007.05400000012</v>
      </c>
    </row>
    <row r="17" spans="1:5">
      <c r="A17" t="s">
        <v>26</v>
      </c>
      <c r="B17" s="5">
        <v>122490.80080000011</v>
      </c>
      <c r="D17" t="s">
        <v>21</v>
      </c>
      <c r="E17" s="5">
        <v>328449.10300000076</v>
      </c>
    </row>
    <row r="18" spans="1:5">
      <c r="A18" t="s">
        <v>35</v>
      </c>
      <c r="B18" s="5">
        <v>145454.94809999989</v>
      </c>
      <c r="D18" t="s">
        <v>32</v>
      </c>
      <c r="E18" s="5">
        <v>223843.60800000012</v>
      </c>
    </row>
    <row r="19" spans="1:5">
      <c r="A19" t="s">
        <v>649</v>
      </c>
      <c r="B19" s="4">
        <v>286397.02170000004</v>
      </c>
      <c r="D19" t="s">
        <v>31</v>
      </c>
      <c r="E19" s="5">
        <v>206965.53200000009</v>
      </c>
    </row>
    <row r="20" spans="1:5">
      <c r="D20" t="s">
        <v>37</v>
      </c>
      <c r="E20" s="5">
        <v>203412.73300000009</v>
      </c>
    </row>
    <row r="21" spans="1:5">
      <c r="A21" s="10" t="s">
        <v>658</v>
      </c>
      <c r="D21" t="s">
        <v>123</v>
      </c>
      <c r="E21" s="5">
        <v>189238.63099999996</v>
      </c>
    </row>
    <row r="22" spans="1:5">
      <c r="A22" s="10" t="s">
        <v>659</v>
      </c>
      <c r="D22" t="s">
        <v>59</v>
      </c>
      <c r="E22" s="5">
        <v>167380.31800000009</v>
      </c>
    </row>
    <row r="23" spans="1:5">
      <c r="D23" t="s">
        <v>162</v>
      </c>
      <c r="E23" s="5">
        <v>149528.02999999994</v>
      </c>
    </row>
    <row r="24" spans="1:5">
      <c r="D24" t="s">
        <v>20</v>
      </c>
      <c r="E24" s="5">
        <v>114879.99629999997</v>
      </c>
    </row>
    <row r="25" spans="1:5">
      <c r="D25" t="s">
        <v>38</v>
      </c>
      <c r="E25" s="5">
        <v>107532.16099999999</v>
      </c>
    </row>
    <row r="26" spans="1:5">
      <c r="D26" t="s">
        <v>33</v>
      </c>
      <c r="E26" s="5">
        <v>91705.164000000048</v>
      </c>
    </row>
    <row r="27" spans="1:5">
      <c r="D27" t="s">
        <v>41</v>
      </c>
      <c r="E27" s="5">
        <v>78479.20600000002</v>
      </c>
    </row>
    <row r="28" spans="1:5">
      <c r="D28" t="s">
        <v>110</v>
      </c>
      <c r="E28" s="5">
        <v>46673.538000000015</v>
      </c>
    </row>
    <row r="29" spans="1:5">
      <c r="D29" t="s">
        <v>34</v>
      </c>
      <c r="E29" s="5">
        <v>27118.791999999954</v>
      </c>
    </row>
    <row r="30" spans="1:5">
      <c r="D30" t="s">
        <v>60</v>
      </c>
      <c r="E30" s="5">
        <v>16476.401999999998</v>
      </c>
    </row>
    <row r="31" spans="1:5">
      <c r="D31" t="s">
        <v>27</v>
      </c>
      <c r="E31" s="5">
        <v>12486.312</v>
      </c>
    </row>
    <row r="32" spans="1:5">
      <c r="D32" t="s">
        <v>77</v>
      </c>
      <c r="E32" s="5">
        <v>3024.2799999999997</v>
      </c>
    </row>
    <row r="33" spans="4:6">
      <c r="D33" t="s">
        <v>649</v>
      </c>
      <c r="E33" s="4">
        <v>2297200.8603000012</v>
      </c>
    </row>
    <row r="39" spans="4:6">
      <c r="F39" s="9"/>
    </row>
  </sheetData>
  <mergeCells count="5">
    <mergeCell ref="A1:B1"/>
    <mergeCell ref="D1:E1"/>
    <mergeCell ref="G1:H1"/>
    <mergeCell ref="D13:F13"/>
    <mergeCell ref="A13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C4F7-F701-4F70-8EC1-AB826530C98C}">
  <dimension ref="A1:T16"/>
  <sheetViews>
    <sheetView tabSelected="1" topLeftCell="E5" workbookViewId="0">
      <selection activeCell="L16" sqref="L7:L16"/>
    </sheetView>
  </sheetViews>
  <sheetFormatPr defaultRowHeight="15"/>
  <cols>
    <col min="1" max="1" width="46.42578125" bestFit="1" customWidth="1"/>
    <col min="2" max="3" width="10.5703125" bestFit="1" customWidth="1"/>
    <col min="5" max="5" width="36.5703125" bestFit="1" customWidth="1"/>
    <col min="6" max="7" width="10.5703125" bestFit="1" customWidth="1"/>
    <col min="9" max="9" width="36.5703125" bestFit="1" customWidth="1"/>
    <col min="12" max="12" width="53.42578125" customWidth="1"/>
    <col min="15" max="15" width="36.5703125" bestFit="1" customWidth="1"/>
    <col min="16" max="16" width="13.7109375" bestFit="1" customWidth="1"/>
    <col min="18" max="18" width="31.42578125" bestFit="1" customWidth="1"/>
    <col min="19" max="19" width="9.5703125" bestFit="1" customWidth="1"/>
  </cols>
  <sheetData>
    <row r="1" spans="1:20" ht="23.25">
      <c r="A1" s="11" t="s">
        <v>660</v>
      </c>
      <c r="E1" s="11" t="s">
        <v>661</v>
      </c>
      <c r="I1" s="11" t="s">
        <v>662</v>
      </c>
      <c r="L1" s="11" t="s">
        <v>663</v>
      </c>
      <c r="O1" s="11" t="s">
        <v>664</v>
      </c>
      <c r="R1" s="11" t="s">
        <v>641</v>
      </c>
    </row>
    <row r="2" spans="1:20">
      <c r="A2" s="1" t="s">
        <v>6</v>
      </c>
      <c r="B2" s="1" t="s">
        <v>9</v>
      </c>
      <c r="C2" s="1" t="s">
        <v>12</v>
      </c>
      <c r="E2" s="1" t="s">
        <v>7</v>
      </c>
      <c r="F2" s="1" t="s">
        <v>9</v>
      </c>
      <c r="G2" s="1" t="s">
        <v>12</v>
      </c>
      <c r="I2" s="1" t="s">
        <v>8</v>
      </c>
      <c r="J2" s="1" t="s">
        <v>9</v>
      </c>
      <c r="L2" s="1" t="s">
        <v>8</v>
      </c>
      <c r="M2" s="1" t="s">
        <v>12</v>
      </c>
      <c r="O2" t="s">
        <v>665</v>
      </c>
      <c r="R2" s="1" t="s">
        <v>1</v>
      </c>
      <c r="S2" s="1" t="s">
        <v>9</v>
      </c>
      <c r="T2" s="1" t="s">
        <v>12</v>
      </c>
    </row>
    <row r="3" spans="1:20">
      <c r="A3" t="s">
        <v>25</v>
      </c>
      <c r="B3" s="2">
        <v>725457.82</v>
      </c>
      <c r="C3" s="2">
        <v>108418.45</v>
      </c>
      <c r="E3" t="s">
        <v>35</v>
      </c>
      <c r="F3" s="2">
        <v>836154.03</v>
      </c>
      <c r="G3" s="2">
        <v>145454.95000000001</v>
      </c>
      <c r="I3" t="s">
        <v>36</v>
      </c>
      <c r="J3" s="14">
        <v>330007</v>
      </c>
      <c r="L3" t="s">
        <v>31</v>
      </c>
      <c r="M3" s="14">
        <v>-17725</v>
      </c>
      <c r="O3" s="1" t="s">
        <v>11</v>
      </c>
      <c r="P3" s="1" t="s">
        <v>666</v>
      </c>
      <c r="R3" t="s">
        <v>14</v>
      </c>
      <c r="S3" s="14">
        <v>1161401</v>
      </c>
      <c r="T3" s="14">
        <v>134119</v>
      </c>
    </row>
    <row r="4" spans="1:20">
      <c r="A4" t="s">
        <v>57</v>
      </c>
      <c r="B4" s="2">
        <v>678781.24</v>
      </c>
      <c r="C4" s="2">
        <v>91522.78</v>
      </c>
      <c r="E4" t="s">
        <v>19</v>
      </c>
      <c r="F4" s="2">
        <v>741999.8</v>
      </c>
      <c r="G4" s="2">
        <v>18451.27</v>
      </c>
      <c r="I4" t="s">
        <v>21</v>
      </c>
      <c r="J4" s="14">
        <v>328449</v>
      </c>
      <c r="L4" t="s">
        <v>20</v>
      </c>
      <c r="M4" s="14">
        <v>-3473</v>
      </c>
      <c r="O4">
        <v>0.1</v>
      </c>
      <c r="P4">
        <v>96.06</v>
      </c>
      <c r="R4" t="s">
        <v>22</v>
      </c>
      <c r="S4" s="14">
        <v>706146</v>
      </c>
      <c r="T4" s="14">
        <v>91979</v>
      </c>
    </row>
    <row r="5" spans="1:20">
      <c r="A5" t="s">
        <v>47</v>
      </c>
      <c r="B5" s="2">
        <v>501239.89</v>
      </c>
      <c r="C5" s="2">
        <v>39706.36</v>
      </c>
      <c r="E5" t="s">
        <v>26</v>
      </c>
      <c r="F5" s="2">
        <v>719047.03</v>
      </c>
      <c r="G5" s="2">
        <v>122490.8</v>
      </c>
      <c r="I5" t="s">
        <v>32</v>
      </c>
      <c r="J5" s="14">
        <v>223844</v>
      </c>
      <c r="L5" t="s">
        <v>110</v>
      </c>
      <c r="M5" s="14">
        <v>-1189</v>
      </c>
      <c r="O5">
        <v>0.2</v>
      </c>
      <c r="P5">
        <v>24.7</v>
      </c>
      <c r="R5" t="s">
        <v>44</v>
      </c>
      <c r="S5" s="14">
        <v>429653</v>
      </c>
      <c r="T5" s="14">
        <v>60299</v>
      </c>
    </row>
    <row r="6" spans="1:20">
      <c r="A6" t="s">
        <v>18</v>
      </c>
      <c r="B6" s="2">
        <v>391721.91</v>
      </c>
      <c r="C6" s="2">
        <v>46749.43</v>
      </c>
      <c r="I6" t="s">
        <v>31</v>
      </c>
      <c r="J6" s="14">
        <v>206966</v>
      </c>
      <c r="O6">
        <v>0.3</v>
      </c>
      <c r="P6">
        <v>-45.68</v>
      </c>
    </row>
    <row r="7" spans="1:20" ht="18">
      <c r="A7" s="15" t="s">
        <v>667</v>
      </c>
      <c r="B7" s="10"/>
      <c r="C7" s="10"/>
      <c r="D7" s="10"/>
      <c r="E7" s="15" t="s">
        <v>667</v>
      </c>
      <c r="F7" s="10"/>
      <c r="I7" t="s">
        <v>37</v>
      </c>
      <c r="J7" s="14">
        <v>203413</v>
      </c>
      <c r="L7" s="15" t="s">
        <v>667</v>
      </c>
      <c r="O7">
        <v>0.4</v>
      </c>
      <c r="P7">
        <v>-111.93</v>
      </c>
      <c r="R7" s="12" t="s">
        <v>667</v>
      </c>
    </row>
    <row r="8" spans="1:20">
      <c r="A8" s="10" t="s">
        <v>668</v>
      </c>
      <c r="B8" s="10"/>
      <c r="C8" s="10"/>
      <c r="D8" s="10"/>
      <c r="E8" s="6" t="s">
        <v>669</v>
      </c>
      <c r="F8" s="10"/>
      <c r="L8" s="6" t="s">
        <v>670</v>
      </c>
      <c r="O8">
        <v>0.5</v>
      </c>
      <c r="P8">
        <v>-310.7</v>
      </c>
      <c r="R8" t="s">
        <v>671</v>
      </c>
    </row>
    <row r="9" spans="1:20" ht="30.75">
      <c r="A9" s="6" t="s">
        <v>672</v>
      </c>
      <c r="B9" s="10"/>
      <c r="C9" s="10"/>
      <c r="D9" s="10"/>
      <c r="E9" s="6" t="s">
        <v>673</v>
      </c>
      <c r="F9" s="10"/>
      <c r="I9" s="15" t="s">
        <v>667</v>
      </c>
      <c r="L9" s="6" t="s">
        <v>674</v>
      </c>
      <c r="O9">
        <v>0.8</v>
      </c>
      <c r="P9">
        <v>-101.8</v>
      </c>
      <c r="R9" t="s">
        <v>675</v>
      </c>
    </row>
    <row r="10" spans="1:20" ht="45.75">
      <c r="A10" s="6" t="s">
        <v>676</v>
      </c>
      <c r="B10" s="10"/>
      <c r="C10" s="10"/>
      <c r="D10" s="10"/>
      <c r="E10" s="6" t="s">
        <v>677</v>
      </c>
      <c r="F10" s="10"/>
      <c r="I10" s="6" t="s">
        <v>678</v>
      </c>
      <c r="L10" s="6" t="s">
        <v>679</v>
      </c>
      <c r="R10" t="s">
        <v>680</v>
      </c>
    </row>
    <row r="11" spans="1:20" ht="30.75">
      <c r="A11" s="10"/>
      <c r="B11" s="10"/>
      <c r="C11" s="10"/>
      <c r="D11" s="10"/>
      <c r="E11" s="6" t="s">
        <v>681</v>
      </c>
      <c r="F11" s="10"/>
      <c r="L11" s="6" t="s">
        <v>682</v>
      </c>
      <c r="O11" s="13" t="s">
        <v>667</v>
      </c>
      <c r="R11" t="s">
        <v>683</v>
      </c>
    </row>
    <row r="12" spans="1:20">
      <c r="L12" s="6" t="s">
        <v>684</v>
      </c>
      <c r="O12" s="8" t="s">
        <v>685</v>
      </c>
    </row>
    <row r="13" spans="1:20">
      <c r="L13" s="6" t="s">
        <v>686</v>
      </c>
      <c r="O13" s="16" t="s">
        <v>687</v>
      </c>
    </row>
    <row r="14" spans="1:20" ht="37.5">
      <c r="L14" s="6" t="s">
        <v>688</v>
      </c>
      <c r="O14" s="16" t="s">
        <v>689</v>
      </c>
    </row>
    <row r="15" spans="1:20">
      <c r="L15" s="6" t="s">
        <v>690</v>
      </c>
      <c r="O15" s="8" t="s">
        <v>691</v>
      </c>
    </row>
    <row r="16" spans="1:20" ht="30.75">
      <c r="L16" s="6" t="s">
        <v>692</v>
      </c>
      <c r="O16" s="8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2026-07-12T19:59:11Z</dcterms:created>
  <dcterms:modified xsi:type="dcterms:W3CDTF">2026-07-14T21:26:17Z</dcterms:modified>
  <cp:category/>
  <cp:contentStatus/>
</cp:coreProperties>
</file>